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endra Kanumuri\30-Days-Data-Analytics\Day06-Statistics\"/>
    </mc:Choice>
  </mc:AlternateContent>
  <xr:revisionPtr revIDLastSave="0" documentId="8_{F793822C-D66F-4745-B69D-B457914BF646}" xr6:coauthVersionLast="47" xr6:coauthVersionMax="47" xr10:uidLastSave="{00000000-0000-0000-0000-000000000000}"/>
  <bookViews>
    <workbookView xWindow="-108" yWindow="-108" windowWidth="23256" windowHeight="12456" xr2:uid="{8089BC6A-9007-48CF-B2FA-2802A296C479}"/>
  </bookViews>
  <sheets>
    <sheet name="IF_NestedIF" sheetId="1" r:id="rId1"/>
    <sheet name="SUMIF_COUNTIF" sheetId="2" r:id="rId2"/>
    <sheet name="VLOOKUP" sheetId="3" r:id="rId3"/>
    <sheet name="HLOOKU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3" l="1"/>
  <c r="N16" i="3"/>
  <c r="N14" i="3"/>
  <c r="E6" i="4"/>
  <c r="C6" i="4"/>
  <c r="N5" i="3"/>
  <c r="N6" i="3"/>
  <c r="N4" i="3"/>
  <c r="E17" i="2"/>
  <c r="D15" i="2"/>
  <c r="D13" i="2"/>
  <c r="D11" i="2"/>
  <c r="G5" i="1"/>
  <c r="G6" i="1"/>
  <c r="G7" i="1"/>
  <c r="G8" i="1"/>
  <c r="G9" i="1"/>
  <c r="G4" i="1"/>
  <c r="E5" i="1"/>
  <c r="E6" i="1"/>
  <c r="E7" i="1"/>
  <c r="E8" i="1"/>
  <c r="E9" i="1"/>
  <c r="E4" i="1"/>
</calcChain>
</file>

<file path=xl/sharedStrings.xml><?xml version="1.0" encoding="utf-8"?>
<sst xmlns="http://schemas.openxmlformats.org/spreadsheetml/2006/main" count="76" uniqueCount="51">
  <si>
    <t>Day 6 of learning 30 days of data analytics</t>
  </si>
  <si>
    <t>Student Name</t>
  </si>
  <si>
    <t>Marks</t>
  </si>
  <si>
    <t>Ravi</t>
  </si>
  <si>
    <t>Sita</t>
  </si>
  <si>
    <t>Arun</t>
  </si>
  <si>
    <t>Meena</t>
  </si>
  <si>
    <t>Kiran</t>
  </si>
  <si>
    <t>Pooja</t>
  </si>
  <si>
    <t>Result</t>
  </si>
  <si>
    <t>Grade</t>
  </si>
  <si>
    <t>Student Result System(Task 1)</t>
  </si>
  <si>
    <t>Sales Analysis(Task 2)</t>
  </si>
  <si>
    <t>Emp Name</t>
  </si>
  <si>
    <t>Dept</t>
  </si>
  <si>
    <t xml:space="preserve">Region </t>
  </si>
  <si>
    <t>Sales</t>
  </si>
  <si>
    <t>Raj</t>
  </si>
  <si>
    <t>Anu</t>
  </si>
  <si>
    <t>Karthik</t>
  </si>
  <si>
    <t>Neha</t>
  </si>
  <si>
    <t>Vamsi</t>
  </si>
  <si>
    <t>Priya</t>
  </si>
  <si>
    <t>IT</t>
  </si>
  <si>
    <t>HR</t>
  </si>
  <si>
    <t>South</t>
  </si>
  <si>
    <t>North</t>
  </si>
  <si>
    <t>East</t>
  </si>
  <si>
    <t>West</t>
  </si>
  <si>
    <t>Total Sales – South Region</t>
  </si>
  <si>
    <t>Total Sales – Sales Dept</t>
  </si>
  <si>
    <t>Count Employees – IT Dept</t>
  </si>
  <si>
    <t>Count Employees – South Region</t>
  </si>
  <si>
    <t>Employee Master(Task 3)</t>
  </si>
  <si>
    <t>Emp ID</t>
  </si>
  <si>
    <t>Name</t>
  </si>
  <si>
    <t>Salary</t>
  </si>
  <si>
    <t>E101</t>
  </si>
  <si>
    <t>E102</t>
  </si>
  <si>
    <t>E103</t>
  </si>
  <si>
    <t>E104</t>
  </si>
  <si>
    <t>Horizontal Data(Task 4)</t>
  </si>
  <si>
    <t>Metric</t>
  </si>
  <si>
    <t>Profit</t>
  </si>
  <si>
    <t>Jan</t>
  </si>
  <si>
    <t>Feb</t>
  </si>
  <si>
    <t>Mar</t>
  </si>
  <si>
    <t>HLOOKUP</t>
  </si>
  <si>
    <t>Lookup Table for VLOOKUP</t>
  </si>
  <si>
    <t>Lookup Table for XLOOKUP</t>
  </si>
  <si>
    <t>E105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</si>
</sst>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EC8C-4075-4B00-8B27-760AD539E3F0}">
  <dimension ref="A1:K9"/>
  <sheetViews>
    <sheetView tabSelected="1" workbookViewId="0">
      <selection activeCell="L10" sqref="L10"/>
    </sheetView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t="s">
        <v>1</v>
      </c>
      <c r="C3" t="s">
        <v>2</v>
      </c>
      <c r="E3" t="s">
        <v>9</v>
      </c>
      <c r="G3" t="s">
        <v>10</v>
      </c>
    </row>
    <row r="4" spans="1:11" x14ac:dyDescent="0.3">
      <c r="A4" t="s">
        <v>3</v>
      </c>
      <c r="C4">
        <v>82</v>
      </c>
      <c r="E4" t="str">
        <f>IF(C4&gt;=40,"Pass","Fail")</f>
        <v>Pass</v>
      </c>
      <c r="G4" t="str">
        <f>IF(C4&gt;=75,"Distinction",IF(C4&gt;=60,"First Class",IF(C4&gt;=40,"Pass","Fail")))</f>
        <v>Distinction</v>
      </c>
    </row>
    <row r="5" spans="1:11" x14ac:dyDescent="0.3">
      <c r="A5" t="s">
        <v>4</v>
      </c>
      <c r="C5">
        <v>67</v>
      </c>
      <c r="E5" t="str">
        <f t="shared" ref="E5:E9" si="0">IF(C5&gt;=40,"Pass","Fail")</f>
        <v>Pass</v>
      </c>
      <c r="G5" t="str">
        <f t="shared" ref="G5:G9" si="1">IF(C5&gt;=75,"Distinction",IF(C5&gt;=60,"First Class",IF(C5&gt;=40,"Pass","Fail")))</f>
        <v>First Class</v>
      </c>
    </row>
    <row r="6" spans="1:11" x14ac:dyDescent="0.3">
      <c r="A6" t="s">
        <v>5</v>
      </c>
      <c r="C6">
        <v>45</v>
      </c>
      <c r="E6" t="str">
        <f t="shared" si="0"/>
        <v>Pass</v>
      </c>
      <c r="G6" t="str">
        <f t="shared" si="1"/>
        <v>Pass</v>
      </c>
    </row>
    <row r="7" spans="1:11" x14ac:dyDescent="0.3">
      <c r="A7" t="s">
        <v>6</v>
      </c>
      <c r="C7">
        <v>33</v>
      </c>
      <c r="E7" t="str">
        <f t="shared" si="0"/>
        <v>Fail</v>
      </c>
      <c r="G7" t="str">
        <f t="shared" si="1"/>
        <v>Fail</v>
      </c>
    </row>
    <row r="8" spans="1:11" x14ac:dyDescent="0.3">
      <c r="A8" t="s">
        <v>7</v>
      </c>
      <c r="C8">
        <v>91</v>
      </c>
      <c r="E8" t="str">
        <f t="shared" si="0"/>
        <v>Pass</v>
      </c>
      <c r="G8" t="str">
        <f t="shared" si="1"/>
        <v>Distinction</v>
      </c>
    </row>
    <row r="9" spans="1:11" x14ac:dyDescent="0.3">
      <c r="A9" t="s">
        <v>8</v>
      </c>
      <c r="C9">
        <v>58</v>
      </c>
      <c r="E9" t="str">
        <f t="shared" si="0"/>
        <v>Pass</v>
      </c>
      <c r="G9" t="str">
        <f t="shared" si="1"/>
        <v>Pass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2566-9D00-4087-A775-FC56560A2829}">
  <dimension ref="A1:J17"/>
  <sheetViews>
    <sheetView workbookViewId="0">
      <selection activeCell="C25" sqref="C25"/>
    </sheetView>
  </sheetViews>
  <sheetFormatPr defaultRowHeight="14.4" x14ac:dyDescent="0.3"/>
  <sheetData>
    <row r="1" spans="1:10" x14ac:dyDescent="0.3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t="s">
        <v>13</v>
      </c>
      <c r="C2" t="s">
        <v>14</v>
      </c>
      <c r="E2" t="s">
        <v>15</v>
      </c>
      <c r="G2" t="s">
        <v>16</v>
      </c>
    </row>
    <row r="3" spans="1:10" x14ac:dyDescent="0.3">
      <c r="A3" t="s">
        <v>17</v>
      </c>
      <c r="C3" t="s">
        <v>16</v>
      </c>
      <c r="E3" t="s">
        <v>25</v>
      </c>
      <c r="G3">
        <v>45000</v>
      </c>
    </row>
    <row r="4" spans="1:10" x14ac:dyDescent="0.3">
      <c r="A4" t="s">
        <v>18</v>
      </c>
      <c r="C4" t="s">
        <v>23</v>
      </c>
      <c r="E4" t="s">
        <v>26</v>
      </c>
      <c r="G4">
        <v>60000</v>
      </c>
    </row>
    <row r="5" spans="1:10" x14ac:dyDescent="0.3">
      <c r="A5" t="s">
        <v>19</v>
      </c>
      <c r="C5" t="s">
        <v>16</v>
      </c>
      <c r="E5" t="s">
        <v>25</v>
      </c>
      <c r="G5">
        <v>52000</v>
      </c>
    </row>
    <row r="6" spans="1:10" x14ac:dyDescent="0.3">
      <c r="A6" t="s">
        <v>20</v>
      </c>
      <c r="C6" t="s">
        <v>24</v>
      </c>
      <c r="E6" t="s">
        <v>27</v>
      </c>
      <c r="G6">
        <v>30000</v>
      </c>
    </row>
    <row r="7" spans="1:10" x14ac:dyDescent="0.3">
      <c r="A7" t="s">
        <v>21</v>
      </c>
      <c r="C7" t="s">
        <v>16</v>
      </c>
      <c r="E7" t="s">
        <v>28</v>
      </c>
      <c r="G7">
        <v>48000</v>
      </c>
    </row>
    <row r="8" spans="1:10" x14ac:dyDescent="0.3">
      <c r="A8" t="s">
        <v>22</v>
      </c>
      <c r="C8" t="s">
        <v>23</v>
      </c>
      <c r="E8" t="s">
        <v>25</v>
      </c>
      <c r="G8">
        <v>70000</v>
      </c>
    </row>
    <row r="11" spans="1:10" x14ac:dyDescent="0.3">
      <c r="A11" t="s">
        <v>29</v>
      </c>
      <c r="D11">
        <f>SUMIF(E3:E8,"South",G3:G8)</f>
        <v>167000</v>
      </c>
    </row>
    <row r="13" spans="1:10" x14ac:dyDescent="0.3">
      <c r="A13" t="s">
        <v>30</v>
      </c>
      <c r="D13">
        <f>SUMIF(C3:C8,"Sales",G3:G8)</f>
        <v>145000</v>
      </c>
    </row>
    <row r="15" spans="1:10" x14ac:dyDescent="0.3">
      <c r="A15" t="s">
        <v>31</v>
      </c>
      <c r="D15">
        <f>COUNTIF(C3:C8,"IT")</f>
        <v>2</v>
      </c>
    </row>
    <row r="17" spans="1:5" x14ac:dyDescent="0.3">
      <c r="A17" t="s">
        <v>32</v>
      </c>
      <c r="E17">
        <f>COUNTIF(E3:E8,"South")</f>
        <v>3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F6E8-397D-4D74-B9B0-396DB5A18253}">
  <dimension ref="A1:Q16"/>
  <sheetViews>
    <sheetView workbookViewId="0">
      <selection activeCell="P16" sqref="P16"/>
    </sheetView>
  </sheetViews>
  <sheetFormatPr defaultRowHeight="14.4" x14ac:dyDescent="0.3"/>
  <sheetData>
    <row r="1" spans="1:17" x14ac:dyDescent="0.3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7" x14ac:dyDescent="0.3">
      <c r="A2" t="s">
        <v>34</v>
      </c>
      <c r="C2" t="s">
        <v>35</v>
      </c>
      <c r="E2" t="s">
        <v>14</v>
      </c>
      <c r="G2" t="s">
        <v>36</v>
      </c>
      <c r="L2" s="1" t="s">
        <v>48</v>
      </c>
      <c r="M2" s="1"/>
      <c r="N2" s="1"/>
      <c r="O2" s="1"/>
      <c r="P2" s="1"/>
      <c r="Q2" s="1"/>
    </row>
    <row r="3" spans="1:17" x14ac:dyDescent="0.3">
      <c r="A3" t="s">
        <v>37</v>
      </c>
      <c r="C3" t="s">
        <v>3</v>
      </c>
      <c r="E3" t="s">
        <v>23</v>
      </c>
      <c r="G3">
        <v>60000</v>
      </c>
      <c r="L3" t="s">
        <v>34</v>
      </c>
      <c r="N3" t="s">
        <v>36</v>
      </c>
    </row>
    <row r="4" spans="1:17" x14ac:dyDescent="0.3">
      <c r="A4" t="s">
        <v>38</v>
      </c>
      <c r="C4" t="s">
        <v>4</v>
      </c>
      <c r="E4" t="s">
        <v>24</v>
      </c>
      <c r="G4">
        <v>45000</v>
      </c>
      <c r="L4" t="s">
        <v>37</v>
      </c>
      <c r="N4">
        <f>VLOOKUP(L4,A3:G7,7,FALSE)</f>
        <v>60000</v>
      </c>
    </row>
    <row r="5" spans="1:17" x14ac:dyDescent="0.3">
      <c r="A5" t="s">
        <v>39</v>
      </c>
      <c r="C5" t="s">
        <v>5</v>
      </c>
      <c r="E5" t="s">
        <v>16</v>
      </c>
      <c r="G5">
        <v>55000</v>
      </c>
      <c r="L5" t="s">
        <v>39</v>
      </c>
      <c r="N5">
        <f t="shared" ref="N5:N6" si="0">VLOOKUP(L5,A4:G8,7,FALSE)</f>
        <v>55000</v>
      </c>
    </row>
    <row r="6" spans="1:17" x14ac:dyDescent="0.3">
      <c r="A6" t="s">
        <v>40</v>
      </c>
      <c r="C6" t="s">
        <v>6</v>
      </c>
      <c r="E6" t="s">
        <v>23</v>
      </c>
      <c r="G6">
        <v>70000</v>
      </c>
      <c r="L6" t="s">
        <v>40</v>
      </c>
      <c r="N6">
        <f t="shared" si="0"/>
        <v>70000</v>
      </c>
    </row>
    <row r="12" spans="1:17" x14ac:dyDescent="0.3">
      <c r="L12" s="1" t="s">
        <v>49</v>
      </c>
      <c r="M12" s="1"/>
      <c r="N12" s="1"/>
      <c r="O12" s="1"/>
      <c r="P12" s="1"/>
      <c r="Q12" s="1"/>
    </row>
    <row r="13" spans="1:17" x14ac:dyDescent="0.3">
      <c r="L13" t="s">
        <v>34</v>
      </c>
      <c r="N13" t="s">
        <v>36</v>
      </c>
    </row>
    <row r="14" spans="1:17" x14ac:dyDescent="0.3">
      <c r="L14" t="s">
        <v>38</v>
      </c>
      <c r="N14">
        <f>_xlfn.XLOOKUP(L14,A3:A6,G3:G6,"Not Found")</f>
        <v>45000</v>
      </c>
    </row>
    <row r="15" spans="1:17" x14ac:dyDescent="0.3">
      <c r="L15" t="s">
        <v>40</v>
      </c>
      <c r="N15">
        <f t="shared" ref="N15:N16" si="1">_xlfn.XLOOKUP(L15,A4:A7,G4:G7,"Not Found")</f>
        <v>70000</v>
      </c>
    </row>
    <row r="16" spans="1:17" x14ac:dyDescent="0.3">
      <c r="L16" t="s">
        <v>50</v>
      </c>
      <c r="N16" t="str">
        <f t="shared" si="1"/>
        <v>Not Found</v>
      </c>
    </row>
  </sheetData>
  <mergeCells count="3">
    <mergeCell ref="A1:K1"/>
    <mergeCell ref="L2:Q2"/>
    <mergeCell ref="L12:Q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B3FC-E653-44BA-A33C-3BCFB9C3A3D7}">
  <dimension ref="A1:I6"/>
  <sheetViews>
    <sheetView workbookViewId="0">
      <selection activeCell="E7" sqref="E7"/>
    </sheetView>
  </sheetViews>
  <sheetFormatPr defaultRowHeight="14.4" x14ac:dyDescent="0.3"/>
  <sheetData>
    <row r="1" spans="1:9" x14ac:dyDescent="0.3">
      <c r="A1" s="1" t="s">
        <v>41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t="s">
        <v>42</v>
      </c>
      <c r="B2" t="s">
        <v>44</v>
      </c>
      <c r="C2" t="s">
        <v>45</v>
      </c>
      <c r="D2" t="s">
        <v>46</v>
      </c>
    </row>
    <row r="3" spans="1:9" x14ac:dyDescent="0.3">
      <c r="A3" t="s">
        <v>16</v>
      </c>
      <c r="B3">
        <v>40000</v>
      </c>
      <c r="C3">
        <v>45000</v>
      </c>
      <c r="D3">
        <v>48000</v>
      </c>
    </row>
    <row r="4" spans="1:9" x14ac:dyDescent="0.3">
      <c r="A4" t="s">
        <v>43</v>
      </c>
      <c r="B4">
        <v>8000</v>
      </c>
      <c r="C4">
        <v>9000</v>
      </c>
      <c r="D4">
        <v>9500</v>
      </c>
    </row>
    <row r="6" spans="1:9" x14ac:dyDescent="0.3">
      <c r="A6" s="1" t="s">
        <v>47</v>
      </c>
      <c r="B6" s="1"/>
      <c r="C6">
        <f>HLOOKUP("Feb",A2:D4,2,FALSE)</f>
        <v>45000</v>
      </c>
      <c r="E6">
        <f>HLOOKUP("Mar",A2:D4,3,FALSE)</f>
        <v>9500</v>
      </c>
    </row>
  </sheetData>
  <mergeCells count="2">
    <mergeCell ref="A1:I1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IF_NestedIF</vt:lpstr>
      <vt:lpstr>SUMIF_COUNTIF</vt:lpstr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Kanumuri Narendra</dc:creator>
  <cp:lastModifiedBy>Kanumuri Narendra</cp:lastModifiedBy>
  <dcterms:created xsi:type="dcterms:W3CDTF">2025-12-15T07:52:28Z</dcterms:created>
  <dcterms:modified xsi:type="dcterms:W3CDTF">2025-12-15T09:12:47Z</dcterms:modified>
</cp:coreProperties>
</file>